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yangdan/Desktop/阳丹/文章课题/文章/结肠癌mRNA签名文章/"/>
    </mc:Choice>
  </mc:AlternateContent>
  <xr:revisionPtr revIDLastSave="0" documentId="13_ncr:1_{707D08D9-CA31-0442-A597-836AAEFD631D}" xr6:coauthVersionLast="47" xr6:coauthVersionMax="47" xr10:uidLastSave="{00000000-0000-0000-0000-000000000000}"/>
  <bookViews>
    <workbookView xWindow="2480" yWindow="1740" windowWidth="29400" windowHeight="17340" xr2:uid="{00000000-000D-0000-FFFF-FFFF00000000}"/>
  </bookViews>
  <sheets>
    <sheet name="抽查30条" sheetId="1" r:id="rId1"/>
    <sheet name="核对说明"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39" i="1" l="1"/>
  <c r="B38" i="1"/>
  <c r="B37" i="1"/>
  <c r="B36" i="1"/>
  <c r="B35" i="1"/>
  <c r="B34" i="1"/>
</calcChain>
</file>

<file path=xl/sharedStrings.xml><?xml version="1.0" encoding="utf-8"?>
<sst xmlns="http://schemas.openxmlformats.org/spreadsheetml/2006/main" count="366" uniqueCount="149">
  <si>
    <t>序号</t>
  </si>
  <si>
    <t>抽样层</t>
  </si>
  <si>
    <t>签名ID</t>
  </si>
  <si>
    <t>PMCID</t>
  </si>
  <si>
    <t>原文链接</t>
  </si>
  <si>
    <t>指标</t>
  </si>
  <si>
    <t>影响哪条结论</t>
  </si>
  <si>
    <t>年份</t>
  </si>
  <si>
    <t>原文声称值</t>
  </si>
  <si>
    <t>我方重算值</t>
  </si>
  <si>
    <t>偏倚(原文−重算)</t>
  </si>
  <si>
    <t>抽取方式</t>
  </si>
  <si>
    <t>置信度</t>
  </si>
  <si>
    <t>语境</t>
  </si>
  <si>
    <t>原文原句（核对这句里的这个值）</t>
  </si>
  <si>
    <t>你的核对结果</t>
  </si>
  <si>
    <t>如判错：正确的原文值</t>
  </si>
  <si>
    <t>备注</t>
  </si>
  <si>
    <t>① 主结论支柱(5年AUC配对)</t>
  </si>
  <si>
    <t>SIG261</t>
  </si>
  <si>
    <t>PMC10281280</t>
  </si>
  <si>
    <t>点开原文</t>
  </si>
  <si>
    <t>AUC</t>
  </si>
  <si>
    <t>claim_auc5</t>
  </si>
  <si>
    <t>seq_post</t>
  </si>
  <si>
    <t>句级</t>
  </si>
  <si>
    <t>未标明</t>
  </si>
  <si>
    <t>SIG284</t>
  </si>
  <si>
    <t>PMC10367930</t>
  </si>
  <si>
    <t>seq_pre</t>
  </si>
  <si>
    <t>SIG219</t>
  </si>
  <si>
    <t>PMC11331578</t>
  </si>
  <si>
    <t>训练集</t>
  </si>
  <si>
    <t>SIG214</t>
  </si>
  <si>
    <t>PMC12436457</t>
  </si>
  <si>
    <t>窗口级</t>
  </si>
  <si>
    <t>验证集</t>
  </si>
  <si>
    <t>SIG157</t>
  </si>
  <si>
    <t>PMC12778156</t>
  </si>
  <si>
    <t>SIG195</t>
  </si>
  <si>
    <t>PMC12855974</t>
  </si>
  <si>
    <t>SIG188</t>
  </si>
  <si>
    <t>PMC13059483</t>
  </si>
  <si>
    <t>SIG216</t>
  </si>
  <si>
    <t>PMC13187096</t>
  </si>
  <si>
    <t>SIG148</t>
  </si>
  <si>
    <t>PMC13480840</t>
  </si>
  <si>
    <t>SIG267</t>
  </si>
  <si>
    <t>PMC9485806</t>
  </si>
  <si>
    <t>SIG283</t>
  </si>
  <si>
    <t>PMC9636133</t>
  </si>
  <si>
    <t>SIG077</t>
  </si>
  <si>
    <t>PMC9932052</t>
  </si>
  <si>
    <t>② C-index配对</t>
  </si>
  <si>
    <t>SIG275</t>
  </si>
  <si>
    <t>PMC12328357</t>
  </si>
  <si>
    <t>C-index</t>
  </si>
  <si>
    <t>claim_c</t>
  </si>
  <si>
    <t>SIG139</t>
  </si>
  <si>
    <t>PMC12686144</t>
  </si>
  <si>
    <t>SIG005</t>
  </si>
  <si>
    <t>PMC12830534</t>
  </si>
  <si>
    <t>SIG245</t>
  </si>
  <si>
    <t>PMC13150367</t>
  </si>
  <si>
    <t>SIG062</t>
  </si>
  <si>
    <t>PMC13223593</t>
  </si>
  <si>
    <t>claim_c_train</t>
  </si>
  <si>
    <t>SIG022</t>
  </si>
  <si>
    <t>PMC13512344</t>
  </si>
  <si>
    <t>③ 高风险绑定/窗口级</t>
  </si>
  <si>
    <t>SIG221</t>
  </si>
  <si>
    <t>PMC10644708</t>
  </si>
  <si>
    <t>claim_auc3</t>
  </si>
  <si>
    <t>one_nearest</t>
  </si>
  <si>
    <t>SIG235</t>
  </si>
  <si>
    <t>PMC11089903</t>
  </si>
  <si>
    <t>SIG070</t>
  </si>
  <si>
    <t>PMC11330954</t>
  </si>
  <si>
    <t>claim_auc1</t>
  </si>
  <si>
    <t>SIG141</t>
  </si>
  <si>
    <t>PMC12605350</t>
  </si>
  <si>
    <t>claim_auc5_max</t>
  </si>
  <si>
    <t>SIG025</t>
  </si>
  <si>
    <t>PMC12714941</t>
  </si>
  <si>
    <t>（未采用）</t>
  </si>
  <si>
    <t>the actual outcomes ( Figure 6C ), indicating excellent predictive performance. To compare the sensitivity and specificity of the nomogram, risk score, and conventional clinicopathological features in predicting prognosis, we conducted time</t>
  </si>
  <si>
    <t>SIG135</t>
  </si>
  <si>
    <t>PMC13546553</t>
  </si>
  <si>
    <t>④ 多年份连排(1-,3-,5-)</t>
  </si>
  <si>
    <t>SIG059</t>
  </si>
  <si>
    <t>PMC11153738</t>
  </si>
  <si>
    <t>SIG262</t>
  </si>
  <si>
    <t>PMC12117421</t>
  </si>
  <si>
    <t>SIG129</t>
  </si>
  <si>
    <t>PMC13190658</t>
  </si>
  <si>
    <t>自动统计（填完后看这里）</t>
  </si>
  <si>
    <t>已核对条数</t>
  </si>
  <si>
    <t>判"对"</t>
  </si>
  <si>
    <t>判"错"</t>
  </si>
  <si>
    <t>存疑</t>
  </si>
  <si>
    <t>无法定位</t>
  </si>
  <si>
    <t>抽取准确率</t>
  </si>
  <si>
    <t>人工核对说明</t>
  </si>
  <si>
    <t>要核什么</t>
  </si>
  <si>
    <t>机器从 320 篇原文里自动抽取了「作者自己声称的性能值」（AUC、C-index）。全文最关键的一句结论——「原文声称值比我们重算值平均高 0.174」——完全建立在这些抽取值上。抽错了，这条结论就塌。所以必须人工核。</t>
  </si>
  <si>
    <t>怎么核</t>
  </si>
  <si>
    <t>① 点第 E 列「点开原文」打开全文；② 用 Ctrl+F 搜第 O 列那句原句；③ 看句子里对应年份/指标的那个数字，是不是等于第 I 列「原文声称值」；④ 在 P 列下拉里选「对/错/存疑/无法定位」。判错的话，把正确的值填进 Q 列。</t>
  </si>
  <si>
    <t>核到什么程度</t>
  </si>
  <si>
    <t>30 条全核最好，约 30–40 分钟。时间不够就优先核第 B 列标①的 12 条（主结论支柱）+ 标②的 6 条（C-index 配对），这 18 条决定核心结论；③④层共 12 条是抽取稳健性，可以后补。</t>
  </si>
  <si>
    <t>注意</t>
  </si>
  <si>
    <t>第 O 列原句是机器截取的上下文，可能截断。找不到这句时，在原文里搜数字本身（如 0.782），确认它属于哪个年份/哪个队列；若原文压根没有这个值，选「无法定位」。</t>
  </si>
  <si>
    <t>填完怎么办</t>
  </si>
  <si>
    <t>把这个文件发回给我。我会按你的判定重算抽取准确率：若「对」的比例 ≥90%，正文写「人工核实 30 条，一致率 X%」；若低于 90%，我要回修抽取脚本重跑发表偏倚那一节。</t>
  </si>
  <si>
    <t>In the TCGA-colon cancer dataset, the area under curve (AUC) for 1-year, 3-year and 5-year was 0.710, 0.708 and 0.782, respectively ( Figure 3A ).</t>
    <phoneticPr fontId="10" type="noConversion"/>
  </si>
  <si>
    <t>对</t>
  </si>
  <si>
    <t>The TCGA-COAD dataset had AUCs of 0.632, 0.621, and 0.609 for predicting 1-, 3-, and 5-year survival.</t>
    <phoneticPr fontId="10" type="noConversion"/>
  </si>
  <si>
    <t>ROC curves also revealed that the AUC value of 1-, 3-, 5-years in training set were 0.75, 0.69, and 0.75, and the AUC value of 1-, 3-, 5-years in test set were 0.72, 0.7, and 0.54 ( Figure 4G -H).</t>
    <phoneticPr fontId="10" type="noConversion"/>
  </si>
  <si>
    <t xml:space="preserve">1, 3, and 5-year survival probabilities based on age and RiskScore. D. Calibration plot comparing observed and predicted overall survival (OS) for different years. E. Decision curve analysis indicating standard net benefit across different </t>
    <phoneticPr fontId="10" type="noConversion"/>
  </si>
  <si>
    <t>错</t>
  </si>
  <si>
    <t>Furthermore, the area under the curve (AUC) values of 1, 3, and 5 years were 0.79, 0.841, and 0.906, respectively, which indicated that the prognostic nomogram model has an accurate predictive ability for RC ( Figure 4F ).</t>
    <phoneticPr fontId="10" type="noConversion"/>
  </si>
  <si>
    <t>The AUC values for the 1-year, 3-year, and 5-year OS were 0.698, 0.678, and 0.697, respectively, in the TCGA training cohort (Fig.</t>
    <phoneticPr fontId="10" type="noConversion"/>
  </si>
  <si>
    <t>The area under the curve (AUC) for 1-year, 3-year, and 5-year survival rates were 0.76, 0.753, and 0.774, respectively, indicating the robustness of the model.</t>
    <phoneticPr fontId="10" type="noConversion"/>
  </si>
  <si>
    <t>The results suggested that in the GSE39582 cohort, the model exhibited excellent discriminative ability, with 1-, 3-, and 5-year time-dependent AUC values of 0.943, 0.961, and 0.981, respectively (Fig.</t>
    <phoneticPr fontId="10" type="noConversion"/>
  </si>
  <si>
    <t>Moreover, the model achieved AUC values of 0.791, 0.793, and 0.824 for 1-, 3-, and 5-year OS predictions, respectively, demonstrating its robust and consistent prognostic capability.</t>
    <phoneticPr fontId="10" type="noConversion"/>
  </si>
  <si>
    <t>9 C) showed 1-, 3-, and 5-year area under the curves (AUCs) of 0.698, 0.711, and 0.645, respectively.</t>
    <phoneticPr fontId="10" type="noConversion"/>
  </si>
  <si>
    <t>The area under the curve (AUC) values of the ROC curve for 3-years and 5-years OS were 0.775 and 0.796, respectively ( Figure 3E ).</t>
    <phoneticPr fontId="10" type="noConversion"/>
  </si>
  <si>
    <t>Then time-dependent ROC curve was used to verify the accuracy of the mitophagy gene signature and showed that the AUC of 1-, 3- and 5-year survival were 0.66, 0.66 and 0.64, respectively (Fig.</t>
    <phoneticPr fontId="10" type="noConversion"/>
  </si>
  <si>
    <t>Furthermore, the area under the curve (AUC) values of the patients' 1-, 3-, 5-year survival rates were predicted as 0.681, 0.684 and 0.770 in the entire group, respectively.</t>
    <phoneticPr fontId="10" type="noConversion"/>
  </si>
  <si>
    <t xml:space="preserve"> × GP1BA + (0.4606) × TIMP1 + (-0.2331) × MMP10 + (-0.3357) × F2RL2 ( Figures 7E, F ). Time-dependent C-index curves were generated for various factors, revealing that the combined model had the highest C-index compared to individual variab</t>
    <phoneticPr fontId="10" type="noConversion"/>
  </si>
  <si>
    <t>Calibration curves demonstrated excellent concordance between predicted and observed outcomes across all time points, with a C-index of 0.793 (95% CI:</t>
    <phoneticPr fontId="10" type="noConversion"/>
  </si>
  <si>
    <t>句子对的，但是里面没有具体的值，值在图里</t>
    <phoneticPr fontId="10" type="noConversion"/>
  </si>
  <si>
    <t>Meanwhile, according to cox regression analysis, the C index of the model was 0.7, and 6 risk genes which include PTGS2 , P4HA1 , P4HA3 , PXDNL , DLAT and GLRX were screened (Fig.</t>
    <phoneticPr fontId="10" type="noConversion"/>
  </si>
  <si>
    <t>[ 17 ] reported a 5-gene m6A model with C-index 0.66 in single-cohort validation, and Wang et al.</t>
    <phoneticPr fontId="10" type="noConversion"/>
  </si>
  <si>
    <t>We created a pool of robust candidates by filtering for model combinations with a mean C-index ≥ 0.6 across all four (training, test and two validation) datasets.</t>
    <phoneticPr fontId="10" type="noConversion"/>
  </si>
  <si>
    <t>As reflected in our results, the C-index of the GAT model drops sharply from 0.906 in the TCGA training set to 0.653 in the external GSE39582 test cohort, which clearly reveals mild overfitting of the 16-head GAT architecture.</t>
    <phoneticPr fontId="10" type="noConversion"/>
  </si>
  <si>
    <t>Specifically, the 3-year Area AUC value for the four-gene risk score model was an impressive 0.805, surpassing the predictive potential of individual clinical factors, including the AJCC TNM stage (AUC = 0.688), patient’s age (AUC = 0.643),</t>
    <phoneticPr fontId="10" type="noConversion"/>
  </si>
  <si>
    <t xml:space="preserve">Specifically, the 3-year Area AUC value for the four-gene risk score model was an impressive 0.805, surpassing the predictive potential of individual clinical factors, including the AJCC TNM stage (AUC = 0.688), patient’s age (AUC = 0.643), T stage (AUC = 0.653), N stage (AUC = 0.656), and M stage (AUC = 0.561) ( Figure 7D ). </t>
    <phoneticPr fontId="10" type="noConversion"/>
  </si>
  <si>
    <t xml:space="preserve">PK2 + (0.3129) × VIP + (0.2508) × RGS16 + (0.1581) × MARCO + (−0.1568) × SLC28A2 + (0.2054) × CCL24 + (−0.4771) × CMKLR1 + (−0.5236) × SLAMF1 + (−0.5293) × SRI + (−0.7741) × NOD2 ( Figure 6D ). We conducted time-dependent C-index curves of </t>
    <phoneticPr fontId="10" type="noConversion"/>
  </si>
  <si>
    <t xml:space="preserve">Calculation of the risk-score model was achieved by the following equation: risk score = (0.6184) × P2RX4 + (0.3427) × RIPK2 + (0.3129) × VIP + (0.2508) × RGS16 + (0.1581) × MARCO + (−0.1568) × SLC28A2 + (0.2054) × CCL24 + (−0.4771) × CMKLR1+ (−0.5236) × SLAMF1+ (−0.5293) × SRI + (−0.7741) × NOD2 ( Figure 6D ). </t>
    <phoneticPr fontId="10" type="noConversion"/>
  </si>
  <si>
    <t>句子不完整</t>
    <phoneticPr fontId="10" type="noConversion"/>
  </si>
  <si>
    <t xml:space="preserve"> survival curves, the high-risk group had worse clinical outcomes in terms of OS compared to the low-risk group (Fig. 3 D). When comparing the area under the curve (AUC) values of the prognostic markers of the three genes with each individu</t>
    <phoneticPr fontId="10" type="noConversion"/>
  </si>
  <si>
    <t>Validation in independent GEO datasets ( GSE39582 , GSE38832 , GSE17536 ) confirmed the model’s robustness (AUC 0.642–0.707 for 1/3/5-year OS).</t>
    <phoneticPr fontId="10" type="noConversion"/>
  </si>
  <si>
    <t xml:space="preserve"> closely aligned with the actual outcomes ( Figure 6C ), indicating excellent predictive performance. To compare the sensitivity and specificity of the nomogram, risk score, and conventional clinicopathological features in predicting progno</t>
    <phoneticPr fontId="10" type="noConversion"/>
  </si>
  <si>
    <t>句子里没有值</t>
    <phoneticPr fontId="10" type="noConversion"/>
  </si>
  <si>
    <t>Their three-gene signature robustly stratified patients into high- and low-risk subsets [3-year area under the curve (AUC) 0.83–0.85, P 0.001].</t>
    <phoneticPr fontId="10" type="noConversion"/>
  </si>
  <si>
    <t>The model’s AUC values for 1-, 3-, and 5-year overall survival (OS) were 0.704, 0.737, and 0.746.</t>
    <phoneticPr fontId="10" type="noConversion"/>
  </si>
  <si>
    <t>(E) Time-dependent receiver operating characteristic curves for 1-, 3- and 5-year survival predictions, with AUC values of 0.733, 0.733 and 0.734, respectively.</t>
    <phoneticPr fontId="10" type="noConversion"/>
  </si>
  <si>
    <t>However, ROC curve analyses demonstrated that the IMRG-based model exhibited superior predictive accuracy, achieving AUC values of 0.791, 0.793, and 0.824 for 1-, 3-, and 5-year OS, respectively (Fig.</t>
    <phoneticPr fontId="10" type="noConversion"/>
  </si>
  <si>
    <t>The AUCs for 1-, 3- and 5-year of the nomogram were 0.823, 0.826 and 0.837, respectively ( Figure 6B ).</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</si>
</sst>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1">
    <font>
      <sz val="11"/>
      <color theme="1"/>
      <name val="宋体"/>
      <family val="2"/>
      <scheme val="minor"/>
    </font>
    <font>
      <b/>
      <sz val="10"/>
      <color rgb="FFFFFFFF"/>
      <name val="微软雅黑"/>
      <family val="2"/>
      <charset val="134"/>
    </font>
    <font>
      <sz val="9.5"/>
      <name val="微软雅黑"/>
      <family val="2"/>
      <charset val="134"/>
    </font>
    <font>
      <u/>
      <sz val="9.5"/>
      <color rgb="FF0563C1"/>
      <name val="微软雅黑"/>
      <family val="2"/>
      <charset val="134"/>
    </font>
    <font>
      <b/>
      <sz val="9.5"/>
      <color rgb="FFC0392B"/>
      <name val="微软雅黑"/>
      <family val="2"/>
      <charset val="134"/>
    </font>
    <font>
      <b/>
      <sz val="10"/>
      <color rgb="FF2E6DA4"/>
      <name val="微软雅黑"/>
      <family val="2"/>
      <charset val="134"/>
    </font>
    <font>
      <b/>
      <sz val="9.5"/>
      <name val="微软雅黑"/>
      <family val="2"/>
      <charset val="134"/>
    </font>
    <font>
      <b/>
      <sz val="13"/>
      <color rgb="FF2E6DA4"/>
      <name val="微软雅黑"/>
      <family val="2"/>
      <charset val="134"/>
    </font>
    <font>
      <b/>
      <sz val="10"/>
      <name val="微软雅黑"/>
      <family val="2"/>
      <charset val="134"/>
    </font>
    <font>
      <sz val="10"/>
      <name val="微软雅黑"/>
      <family val="2"/>
      <charset val="134"/>
    </font>
    <font>
      <sz val="9"/>
      <name val="宋体"/>
      <family val="3"/>
      <charset val="134"/>
      <scheme val="minor"/>
    </font>
  </fonts>
  <fills count="4">
    <fill>
      <patternFill patternType="none"/>
    </fill>
    <fill>
      <patternFill patternType="gray125"/>
    </fill>
    <fill>
      <patternFill patternType="solid">
        <fgColor rgb="FF2E6DA4"/>
      </patternFill>
    </fill>
    <fill>
      <patternFill patternType="solid">
        <fgColor rgb="FFFFF6E5"/>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top" wrapText="1"/>
    </xf>
    <xf numFmtId="0" fontId="3"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vertical="top" wrapText="1"/>
    </xf>
    <xf numFmtId="0" fontId="5" fillId="0" borderId="0" xfId="0" applyFont="1"/>
    <xf numFmtId="0" fontId="2" fillId="0" borderId="0" xfId="0" applyFont="1"/>
    <xf numFmtId="0" fontId="6" fillId="0" borderId="0" xfId="0" applyFont="1"/>
    <xf numFmtId="176" fontId="6" fillId="0" borderId="0" xfId="0" applyNumberFormat="1" applyFont="1"/>
    <xf numFmtId="0" fontId="7" fillId="0" borderId="0" xfId="0" applyFont="1"/>
    <xf numFmtId="0" fontId="8" fillId="0" borderId="0" xfId="0" applyFont="1" applyAlignment="1">
      <alignment vertical="top"/>
    </xf>
    <xf numFmtId="0" fontId="9" fillId="0" borderId="0" xfId="0" applyFont="1"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europepmc.org/article/PMC/PMC13187096" TargetMode="External"/><Relationship Id="rId13" Type="http://schemas.openxmlformats.org/officeDocument/2006/relationships/hyperlink" Target="https://europepmc.org/article/PMC/PMC12328357" TargetMode="External"/><Relationship Id="rId18" Type="http://schemas.openxmlformats.org/officeDocument/2006/relationships/hyperlink" Target="https://europepmc.org/article/PMC/PMC13512344" TargetMode="External"/><Relationship Id="rId26" Type="http://schemas.openxmlformats.org/officeDocument/2006/relationships/hyperlink" Target="https://europepmc.org/article/PMC/PMC13546553" TargetMode="External"/><Relationship Id="rId3" Type="http://schemas.openxmlformats.org/officeDocument/2006/relationships/hyperlink" Target="https://europepmc.org/article/PMC/PMC11331578" TargetMode="External"/><Relationship Id="rId21" Type="http://schemas.openxmlformats.org/officeDocument/2006/relationships/hyperlink" Target="https://europepmc.org/article/PMC/PMC11330954" TargetMode="External"/><Relationship Id="rId7" Type="http://schemas.openxmlformats.org/officeDocument/2006/relationships/hyperlink" Target="https://europepmc.org/article/PMC/PMC13059483" TargetMode="External"/><Relationship Id="rId12" Type="http://schemas.openxmlformats.org/officeDocument/2006/relationships/hyperlink" Target="https://europepmc.org/article/PMC/PMC9932052" TargetMode="External"/><Relationship Id="rId17" Type="http://schemas.openxmlformats.org/officeDocument/2006/relationships/hyperlink" Target="https://europepmc.org/article/PMC/PMC13223593" TargetMode="External"/><Relationship Id="rId25" Type="http://schemas.openxmlformats.org/officeDocument/2006/relationships/hyperlink" Target="https://europepmc.org/article/PMC/PMC12714941" TargetMode="External"/><Relationship Id="rId2" Type="http://schemas.openxmlformats.org/officeDocument/2006/relationships/hyperlink" Target="https://europepmc.org/article/PMC/PMC10367930" TargetMode="External"/><Relationship Id="rId16" Type="http://schemas.openxmlformats.org/officeDocument/2006/relationships/hyperlink" Target="https://europepmc.org/article/PMC/PMC13150367" TargetMode="External"/><Relationship Id="rId20" Type="http://schemas.openxmlformats.org/officeDocument/2006/relationships/hyperlink" Target="https://europepmc.org/article/PMC/PMC11089903" TargetMode="External"/><Relationship Id="rId29" Type="http://schemas.openxmlformats.org/officeDocument/2006/relationships/hyperlink" Target="https://europepmc.org/article/PMC/PMC13187096" TargetMode="External"/><Relationship Id="rId1" Type="http://schemas.openxmlformats.org/officeDocument/2006/relationships/hyperlink" Target="https://europepmc.org/article/PMC/PMC10281280" TargetMode="External"/><Relationship Id="rId6" Type="http://schemas.openxmlformats.org/officeDocument/2006/relationships/hyperlink" Target="https://europepmc.org/article/PMC/PMC12855974" TargetMode="External"/><Relationship Id="rId11" Type="http://schemas.openxmlformats.org/officeDocument/2006/relationships/hyperlink" Target="https://europepmc.org/article/PMC/PMC9636133" TargetMode="External"/><Relationship Id="rId24" Type="http://schemas.openxmlformats.org/officeDocument/2006/relationships/hyperlink" Target="https://europepmc.org/article/PMC/PMC12714941" TargetMode="External"/><Relationship Id="rId5" Type="http://schemas.openxmlformats.org/officeDocument/2006/relationships/hyperlink" Target="https://europepmc.org/article/PMC/PMC12778156" TargetMode="External"/><Relationship Id="rId15" Type="http://schemas.openxmlformats.org/officeDocument/2006/relationships/hyperlink" Target="https://europepmc.org/article/PMC/PMC12830534" TargetMode="External"/><Relationship Id="rId23" Type="http://schemas.openxmlformats.org/officeDocument/2006/relationships/hyperlink" Target="https://europepmc.org/article/PMC/PMC12714941" TargetMode="External"/><Relationship Id="rId28" Type="http://schemas.openxmlformats.org/officeDocument/2006/relationships/hyperlink" Target="https://europepmc.org/article/PMC/PMC12117421" TargetMode="External"/><Relationship Id="rId10" Type="http://schemas.openxmlformats.org/officeDocument/2006/relationships/hyperlink" Target="https://europepmc.org/article/PMC/PMC9485806" TargetMode="External"/><Relationship Id="rId19" Type="http://schemas.openxmlformats.org/officeDocument/2006/relationships/hyperlink" Target="https://europepmc.org/article/PMC/PMC10644708" TargetMode="External"/><Relationship Id="rId4" Type="http://schemas.openxmlformats.org/officeDocument/2006/relationships/hyperlink" Target="https://europepmc.org/article/PMC/PMC12436457" TargetMode="External"/><Relationship Id="rId9" Type="http://schemas.openxmlformats.org/officeDocument/2006/relationships/hyperlink" Target="https://europepmc.org/article/PMC/PMC13480840" TargetMode="External"/><Relationship Id="rId14" Type="http://schemas.openxmlformats.org/officeDocument/2006/relationships/hyperlink" Target="https://europepmc.org/article/PMC/PMC12686144" TargetMode="External"/><Relationship Id="rId22" Type="http://schemas.openxmlformats.org/officeDocument/2006/relationships/hyperlink" Target="https://europepmc.org/article/PMC/PMC12605350" TargetMode="External"/><Relationship Id="rId27" Type="http://schemas.openxmlformats.org/officeDocument/2006/relationships/hyperlink" Target="https://europepmc.org/article/PMC/PMC11153738" TargetMode="External"/><Relationship Id="rId30" Type="http://schemas.openxmlformats.org/officeDocument/2006/relationships/hyperlink" Target="https://europepmc.org/article/PMC/PMC1319065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9"/>
  <sheetViews>
    <sheetView tabSelected="1" workbookViewId="0">
      <pane xSplit="2" ySplit="1" topLeftCell="C26" activePane="bottomRight" state="frozen"/>
      <selection pane="topRight"/>
      <selection pane="bottomLeft"/>
      <selection pane="bottomRight" activeCell="P31" sqref="P31"/>
    </sheetView>
  </sheetViews>
  <sheetFormatPr baseColWidth="10" defaultColWidth="8.83203125" defaultRowHeight="14"/>
  <cols>
    <col min="1" max="1" width="5" customWidth="1"/>
    <col min="2" max="2" width="20" customWidth="1"/>
    <col min="3" max="3" width="9" customWidth="1"/>
    <col min="4" max="4" width="13" customWidth="1"/>
    <col min="5" max="5" width="9" customWidth="1"/>
    <col min="6" max="6" width="8" customWidth="1"/>
    <col min="7" max="7" width="15" customWidth="1"/>
    <col min="8" max="8" width="6" customWidth="1"/>
    <col min="9" max="10" width="10" customWidth="1"/>
    <col min="11" max="11" width="12" customWidth="1"/>
    <col min="12" max="12" width="9" customWidth="1"/>
    <col min="13" max="14" width="8" customWidth="1"/>
    <col min="15" max="15" width="62" customWidth="1"/>
    <col min="16" max="16" width="11" customWidth="1"/>
    <col min="17" max="17" width="16" customWidth="1"/>
    <col min="18" max="18" width="18" customWidth="1"/>
  </cols>
  <sheetData>
    <row r="1" spans="1:18" ht="3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58" customHeight="1">
      <c r="A2" s="2">
        <v>1</v>
      </c>
      <c r="B2" s="3" t="s">
        <v>18</v>
      </c>
      <c r="C2" s="2" t="s">
        <v>19</v>
      </c>
      <c r="D2" s="2" t="s">
        <v>20</v>
      </c>
      <c r="E2" s="4" t="s">
        <v>21</v>
      </c>
      <c r="F2" s="2" t="s">
        <v>22</v>
      </c>
      <c r="G2" s="2" t="s">
        <v>23</v>
      </c>
      <c r="H2" s="2">
        <v>5</v>
      </c>
      <c r="I2" s="2">
        <v>0.78200000000000003</v>
      </c>
      <c r="J2" s="2">
        <v>0.54590000000000005</v>
      </c>
      <c r="K2" s="2">
        <v>0.2361</v>
      </c>
      <c r="L2" s="2" t="s">
        <v>24</v>
      </c>
      <c r="M2" s="2" t="s">
        <v>25</v>
      </c>
      <c r="N2" s="2" t="s">
        <v>26</v>
      </c>
      <c r="O2" s="3" t="s">
        <v>113</v>
      </c>
      <c r="P2" s="5" t="s">
        <v>114</v>
      </c>
      <c r="Q2" s="5"/>
      <c r="R2" s="6"/>
    </row>
    <row r="3" spans="1:18" ht="58" customHeight="1">
      <c r="A3" s="2">
        <v>2</v>
      </c>
      <c r="B3" s="3" t="s">
        <v>18</v>
      </c>
      <c r="C3" s="2" t="s">
        <v>27</v>
      </c>
      <c r="D3" s="2" t="s">
        <v>28</v>
      </c>
      <c r="E3" s="4" t="s">
        <v>21</v>
      </c>
      <c r="F3" s="2" t="s">
        <v>22</v>
      </c>
      <c r="G3" s="2" t="s">
        <v>23</v>
      </c>
      <c r="H3" s="2">
        <v>5</v>
      </c>
      <c r="I3" s="2">
        <v>0.60899999999999999</v>
      </c>
      <c r="J3" s="2">
        <v>0.63670000000000004</v>
      </c>
      <c r="K3" s="2">
        <v>-2.7699999999999999E-2</v>
      </c>
      <c r="L3" s="2" t="s">
        <v>29</v>
      </c>
      <c r="M3" s="2" t="s">
        <v>25</v>
      </c>
      <c r="N3" s="2" t="s">
        <v>26</v>
      </c>
      <c r="O3" s="3" t="s">
        <v>115</v>
      </c>
      <c r="P3" s="5" t="s">
        <v>114</v>
      </c>
      <c r="Q3" s="5"/>
      <c r="R3" s="6"/>
    </row>
    <row r="4" spans="1:18" ht="58" customHeight="1">
      <c r="A4" s="2">
        <v>3</v>
      </c>
      <c r="B4" s="3" t="s">
        <v>18</v>
      </c>
      <c r="C4" s="2" t="s">
        <v>30</v>
      </c>
      <c r="D4" s="2" t="s">
        <v>31</v>
      </c>
      <c r="E4" s="4" t="s">
        <v>21</v>
      </c>
      <c r="F4" s="2" t="s">
        <v>22</v>
      </c>
      <c r="G4" s="2" t="s">
        <v>23</v>
      </c>
      <c r="H4" s="2">
        <v>5</v>
      </c>
      <c r="I4" s="2">
        <v>0.54</v>
      </c>
      <c r="J4" s="2">
        <v>0.52</v>
      </c>
      <c r="K4" s="2">
        <v>0.02</v>
      </c>
      <c r="L4" s="2" t="s">
        <v>24</v>
      </c>
      <c r="M4" s="2" t="s">
        <v>25</v>
      </c>
      <c r="N4" s="2" t="s">
        <v>32</v>
      </c>
      <c r="O4" s="3" t="s">
        <v>116</v>
      </c>
      <c r="P4" s="5" t="s">
        <v>114</v>
      </c>
      <c r="Q4" s="5"/>
      <c r="R4" s="6"/>
    </row>
    <row r="5" spans="1:18" ht="58" customHeight="1">
      <c r="A5" s="2">
        <v>4</v>
      </c>
      <c r="B5" s="3" t="s">
        <v>18</v>
      </c>
      <c r="C5" s="2" t="s">
        <v>33</v>
      </c>
      <c r="D5" s="2" t="s">
        <v>34</v>
      </c>
      <c r="E5" s="4" t="s">
        <v>21</v>
      </c>
      <c r="F5" s="2" t="s">
        <v>22</v>
      </c>
      <c r="G5" s="2" t="s">
        <v>23</v>
      </c>
      <c r="H5" s="2">
        <v>5</v>
      </c>
      <c r="I5" s="2">
        <v>0.58388099999999998</v>
      </c>
      <c r="J5" s="2">
        <v>0.56999999999999995</v>
      </c>
      <c r="K5" s="2">
        <v>1.3899999999999999E-2</v>
      </c>
      <c r="L5" s="2" t="s">
        <v>24</v>
      </c>
      <c r="M5" s="2" t="s">
        <v>35</v>
      </c>
      <c r="N5" s="2" t="s">
        <v>36</v>
      </c>
      <c r="O5" s="3" t="s">
        <v>117</v>
      </c>
      <c r="P5" s="5" t="s">
        <v>118</v>
      </c>
      <c r="Q5" s="5" t="s">
        <v>119</v>
      </c>
      <c r="R5" s="6"/>
    </row>
    <row r="6" spans="1:18" ht="58" customHeight="1">
      <c r="A6" s="2">
        <v>5</v>
      </c>
      <c r="B6" s="3" t="s">
        <v>18</v>
      </c>
      <c r="C6" s="2" t="s">
        <v>37</v>
      </c>
      <c r="D6" s="2" t="s">
        <v>38</v>
      </c>
      <c r="E6" s="4" t="s">
        <v>21</v>
      </c>
      <c r="F6" s="2" t="s">
        <v>22</v>
      </c>
      <c r="G6" s="2" t="s">
        <v>23</v>
      </c>
      <c r="H6" s="2">
        <v>5</v>
      </c>
      <c r="I6" s="2">
        <v>0.69699999999999995</v>
      </c>
      <c r="J6" s="2">
        <v>0.57150000000000001</v>
      </c>
      <c r="K6" s="2">
        <v>0.1255</v>
      </c>
      <c r="L6" s="2" t="s">
        <v>24</v>
      </c>
      <c r="M6" s="2" t="s">
        <v>25</v>
      </c>
      <c r="N6" s="2" t="s">
        <v>32</v>
      </c>
      <c r="O6" s="3" t="s">
        <v>120</v>
      </c>
      <c r="P6" s="5" t="s">
        <v>114</v>
      </c>
      <c r="Q6" s="5"/>
      <c r="R6" s="6"/>
    </row>
    <row r="7" spans="1:18" ht="58" customHeight="1">
      <c r="A7" s="2">
        <v>6</v>
      </c>
      <c r="B7" s="3" t="s">
        <v>18</v>
      </c>
      <c r="C7" s="2" t="s">
        <v>39</v>
      </c>
      <c r="D7" s="2" t="s">
        <v>40</v>
      </c>
      <c r="E7" s="4" t="s">
        <v>21</v>
      </c>
      <c r="F7" s="2" t="s">
        <v>22</v>
      </c>
      <c r="G7" s="2" t="s">
        <v>23</v>
      </c>
      <c r="H7" s="2">
        <v>5</v>
      </c>
      <c r="I7" s="2">
        <v>0.77400000000000002</v>
      </c>
      <c r="J7" s="2">
        <v>0.53129999999999999</v>
      </c>
      <c r="K7" s="2">
        <v>0.2427</v>
      </c>
      <c r="L7" s="2" t="s">
        <v>24</v>
      </c>
      <c r="M7" s="2" t="s">
        <v>25</v>
      </c>
      <c r="N7" s="2" t="s">
        <v>26</v>
      </c>
      <c r="O7" s="3" t="s">
        <v>121</v>
      </c>
      <c r="P7" s="5" t="s">
        <v>114</v>
      </c>
      <c r="Q7" s="5"/>
      <c r="R7" s="6"/>
    </row>
    <row r="8" spans="1:18" ht="58" customHeight="1">
      <c r="A8" s="2">
        <v>7</v>
      </c>
      <c r="B8" s="3" t="s">
        <v>18</v>
      </c>
      <c r="C8" s="2" t="s">
        <v>41</v>
      </c>
      <c r="D8" s="2" t="s">
        <v>42</v>
      </c>
      <c r="E8" s="4" t="s">
        <v>21</v>
      </c>
      <c r="F8" s="2" t="s">
        <v>22</v>
      </c>
      <c r="G8" s="2" t="s">
        <v>23</v>
      </c>
      <c r="H8" s="2">
        <v>5</v>
      </c>
      <c r="I8" s="2">
        <v>0.98099999999999998</v>
      </c>
      <c r="J8" s="2">
        <v>0.55669999999999997</v>
      </c>
      <c r="K8" s="2">
        <v>0.42430000000000001</v>
      </c>
      <c r="L8" s="2" t="s">
        <v>24</v>
      </c>
      <c r="M8" s="2" t="s">
        <v>25</v>
      </c>
      <c r="N8" s="2" t="s">
        <v>26</v>
      </c>
      <c r="O8" s="3" t="s">
        <v>122</v>
      </c>
      <c r="P8" s="5" t="s">
        <v>99</v>
      </c>
      <c r="Q8" s="5" t="s">
        <v>123</v>
      </c>
      <c r="R8" s="6"/>
    </row>
    <row r="9" spans="1:18" ht="58" customHeight="1">
      <c r="A9" s="2">
        <v>8</v>
      </c>
      <c r="B9" s="3" t="s">
        <v>18</v>
      </c>
      <c r="C9" s="2" t="s">
        <v>43</v>
      </c>
      <c r="D9" s="2" t="s">
        <v>44</v>
      </c>
      <c r="E9" s="4" t="s">
        <v>21</v>
      </c>
      <c r="F9" s="2" t="s">
        <v>22</v>
      </c>
      <c r="G9" s="2" t="s">
        <v>23</v>
      </c>
      <c r="H9" s="2">
        <v>5</v>
      </c>
      <c r="I9" s="2">
        <v>0.82399999999999995</v>
      </c>
      <c r="J9" s="2">
        <v>0.60670000000000002</v>
      </c>
      <c r="K9" s="2">
        <v>0.21729999999999999</v>
      </c>
      <c r="L9" s="2" t="s">
        <v>29</v>
      </c>
      <c r="M9" s="2" t="s">
        <v>25</v>
      </c>
      <c r="N9" s="2" t="s">
        <v>26</v>
      </c>
      <c r="O9" s="3" t="s">
        <v>123</v>
      </c>
      <c r="P9" s="5" t="s">
        <v>114</v>
      </c>
      <c r="Q9" s="5"/>
      <c r="R9" s="6"/>
    </row>
    <row r="10" spans="1:18" ht="58" customHeight="1">
      <c r="A10" s="2">
        <v>9</v>
      </c>
      <c r="B10" s="3" t="s">
        <v>18</v>
      </c>
      <c r="C10" s="2" t="s">
        <v>45</v>
      </c>
      <c r="D10" s="2" t="s">
        <v>46</v>
      </c>
      <c r="E10" s="4" t="s">
        <v>21</v>
      </c>
      <c r="F10" s="2" t="s">
        <v>22</v>
      </c>
      <c r="G10" s="2" t="s">
        <v>23</v>
      </c>
      <c r="H10" s="2">
        <v>5</v>
      </c>
      <c r="I10" s="2">
        <v>0.64500000000000002</v>
      </c>
      <c r="J10" s="2">
        <v>0.58330000000000004</v>
      </c>
      <c r="K10" s="2">
        <v>6.1699999999999998E-2</v>
      </c>
      <c r="L10" s="2" t="s">
        <v>24</v>
      </c>
      <c r="M10" s="2" t="s">
        <v>25</v>
      </c>
      <c r="N10" s="2" t="s">
        <v>26</v>
      </c>
      <c r="O10" s="3" t="s">
        <v>124</v>
      </c>
      <c r="P10" s="5" t="s">
        <v>114</v>
      </c>
      <c r="Q10" s="5"/>
      <c r="R10" s="6"/>
    </row>
    <row r="11" spans="1:18" ht="58" customHeight="1">
      <c r="A11" s="2">
        <v>10</v>
      </c>
      <c r="B11" s="3" t="s">
        <v>18</v>
      </c>
      <c r="C11" s="2" t="s">
        <v>47</v>
      </c>
      <c r="D11" s="2" t="s">
        <v>48</v>
      </c>
      <c r="E11" s="4" t="s">
        <v>21</v>
      </c>
      <c r="F11" s="2" t="s">
        <v>22</v>
      </c>
      <c r="G11" s="2" t="s">
        <v>23</v>
      </c>
      <c r="H11" s="2">
        <v>5</v>
      </c>
      <c r="I11" s="2">
        <v>0.79600000000000004</v>
      </c>
      <c r="J11" s="2">
        <v>0.54559999999999997</v>
      </c>
      <c r="K11" s="2">
        <v>0.25040000000000001</v>
      </c>
      <c r="L11" s="2" t="s">
        <v>24</v>
      </c>
      <c r="M11" s="2" t="s">
        <v>25</v>
      </c>
      <c r="N11" s="2" t="s">
        <v>26</v>
      </c>
      <c r="O11" s="3" t="s">
        <v>125</v>
      </c>
      <c r="P11" s="5" t="s">
        <v>114</v>
      </c>
      <c r="Q11" s="5"/>
      <c r="R11" s="6"/>
    </row>
    <row r="12" spans="1:18" ht="58" customHeight="1">
      <c r="A12" s="2">
        <v>11</v>
      </c>
      <c r="B12" s="3" t="s">
        <v>18</v>
      </c>
      <c r="C12" s="2" t="s">
        <v>49</v>
      </c>
      <c r="D12" s="2" t="s">
        <v>50</v>
      </c>
      <c r="E12" s="4" t="s">
        <v>21</v>
      </c>
      <c r="F12" s="2" t="s">
        <v>22</v>
      </c>
      <c r="G12" s="2" t="s">
        <v>23</v>
      </c>
      <c r="H12" s="2">
        <v>5</v>
      </c>
      <c r="I12" s="2">
        <v>0.64</v>
      </c>
      <c r="J12" s="2">
        <v>0.54559999999999997</v>
      </c>
      <c r="K12" s="2">
        <v>9.4399999999999998E-2</v>
      </c>
      <c r="L12" s="2" t="s">
        <v>24</v>
      </c>
      <c r="M12" s="2" t="s">
        <v>25</v>
      </c>
      <c r="N12" s="2" t="s">
        <v>26</v>
      </c>
      <c r="O12" s="3" t="s">
        <v>126</v>
      </c>
      <c r="P12" s="5" t="s">
        <v>114</v>
      </c>
      <c r="Q12" s="5"/>
      <c r="R12" s="6"/>
    </row>
    <row r="13" spans="1:18" ht="58" customHeight="1">
      <c r="A13" s="2">
        <v>12</v>
      </c>
      <c r="B13" s="3" t="s">
        <v>18</v>
      </c>
      <c r="C13" s="2" t="s">
        <v>51</v>
      </c>
      <c r="D13" s="2" t="s">
        <v>52</v>
      </c>
      <c r="E13" s="4" t="s">
        <v>21</v>
      </c>
      <c r="F13" s="2" t="s">
        <v>22</v>
      </c>
      <c r="G13" s="2" t="s">
        <v>23</v>
      </c>
      <c r="H13" s="2">
        <v>5</v>
      </c>
      <c r="I13" s="2">
        <v>0.77</v>
      </c>
      <c r="J13" s="2">
        <v>0.5464</v>
      </c>
      <c r="K13" s="2">
        <v>0.22359999999999999</v>
      </c>
      <c r="L13" s="2" t="s">
        <v>24</v>
      </c>
      <c r="M13" s="2" t="s">
        <v>25</v>
      </c>
      <c r="N13" s="2" t="s">
        <v>32</v>
      </c>
      <c r="O13" s="3" t="s">
        <v>127</v>
      </c>
      <c r="P13" s="5" t="s">
        <v>114</v>
      </c>
      <c r="Q13" s="5"/>
      <c r="R13" s="6"/>
    </row>
    <row r="14" spans="1:18" ht="58" customHeight="1">
      <c r="A14" s="2">
        <v>13</v>
      </c>
      <c r="B14" s="3" t="s">
        <v>53</v>
      </c>
      <c r="C14" s="2" t="s">
        <v>54</v>
      </c>
      <c r="D14" s="2" t="s">
        <v>55</v>
      </c>
      <c r="E14" s="4" t="s">
        <v>21</v>
      </c>
      <c r="F14" s="2" t="s">
        <v>56</v>
      </c>
      <c r="G14" s="2" t="s">
        <v>57</v>
      </c>
      <c r="H14" s="2"/>
      <c r="I14" s="2">
        <v>0.46060000000000001</v>
      </c>
      <c r="J14" s="2">
        <v>0.51990000000000003</v>
      </c>
      <c r="K14" s="2">
        <v>-5.9299999999999999E-2</v>
      </c>
      <c r="L14" s="2"/>
      <c r="M14" s="2" t="s">
        <v>35</v>
      </c>
      <c r="N14" s="2" t="s">
        <v>26</v>
      </c>
      <c r="O14" s="3" t="s">
        <v>128</v>
      </c>
      <c r="P14" s="5" t="s">
        <v>114</v>
      </c>
      <c r="Q14" s="5"/>
      <c r="R14" s="6" t="s">
        <v>130</v>
      </c>
    </row>
    <row r="15" spans="1:18" ht="58" customHeight="1">
      <c r="A15" s="2">
        <v>14</v>
      </c>
      <c r="B15" s="3" t="s">
        <v>53</v>
      </c>
      <c r="C15" s="2" t="s">
        <v>58</v>
      </c>
      <c r="D15" s="2" t="s">
        <v>59</v>
      </c>
      <c r="E15" s="4" t="s">
        <v>21</v>
      </c>
      <c r="F15" s="2" t="s">
        <v>56</v>
      </c>
      <c r="G15" s="2" t="s">
        <v>57</v>
      </c>
      <c r="H15" s="2"/>
      <c r="I15" s="2">
        <v>0.79300000000000004</v>
      </c>
      <c r="J15" s="2">
        <v>0.53210000000000002</v>
      </c>
      <c r="K15" s="2">
        <v>0.26090000000000002</v>
      </c>
      <c r="L15" s="2"/>
      <c r="M15" s="2" t="s">
        <v>25</v>
      </c>
      <c r="N15" s="2" t="s">
        <v>26</v>
      </c>
      <c r="O15" s="3" t="s">
        <v>129</v>
      </c>
      <c r="P15" s="5" t="s">
        <v>114</v>
      </c>
      <c r="Q15" s="5"/>
      <c r="R15" s="6"/>
    </row>
    <row r="16" spans="1:18" ht="58" customHeight="1">
      <c r="A16" s="2">
        <v>15</v>
      </c>
      <c r="B16" s="3" t="s">
        <v>53</v>
      </c>
      <c r="C16" s="2" t="s">
        <v>60</v>
      </c>
      <c r="D16" s="2" t="s">
        <v>61</v>
      </c>
      <c r="E16" s="4" t="s">
        <v>21</v>
      </c>
      <c r="F16" s="2" t="s">
        <v>56</v>
      </c>
      <c r="G16" s="2" t="s">
        <v>57</v>
      </c>
      <c r="H16" s="2"/>
      <c r="I16" s="2">
        <v>0.7</v>
      </c>
      <c r="J16" s="2">
        <v>0.52980000000000005</v>
      </c>
      <c r="K16" s="2">
        <v>0.17019999999999999</v>
      </c>
      <c r="L16" s="2"/>
      <c r="M16" s="2" t="s">
        <v>25</v>
      </c>
      <c r="N16" s="2" t="s">
        <v>26</v>
      </c>
      <c r="O16" s="3" t="s">
        <v>131</v>
      </c>
      <c r="P16" s="5" t="s">
        <v>114</v>
      </c>
      <c r="Q16" s="5"/>
      <c r="R16" s="6"/>
    </row>
    <row r="17" spans="1:18" ht="58" customHeight="1">
      <c r="A17" s="2">
        <v>16</v>
      </c>
      <c r="B17" s="3" t="s">
        <v>53</v>
      </c>
      <c r="C17" s="2" t="s">
        <v>62</v>
      </c>
      <c r="D17" s="2" t="s">
        <v>63</v>
      </c>
      <c r="E17" s="4" t="s">
        <v>21</v>
      </c>
      <c r="F17" s="2" t="s">
        <v>56</v>
      </c>
      <c r="G17" s="2" t="s">
        <v>57</v>
      </c>
      <c r="H17" s="2"/>
      <c r="I17" s="2">
        <v>0.66</v>
      </c>
      <c r="J17" s="2">
        <v>0.54139999999999999</v>
      </c>
      <c r="K17" s="2">
        <v>0.1186</v>
      </c>
      <c r="L17" s="2"/>
      <c r="M17" s="2" t="s">
        <v>25</v>
      </c>
      <c r="N17" s="2" t="s">
        <v>36</v>
      </c>
      <c r="O17" s="3" t="s">
        <v>132</v>
      </c>
      <c r="P17" s="5" t="s">
        <v>114</v>
      </c>
      <c r="Q17" s="5"/>
      <c r="R17" s="6"/>
    </row>
    <row r="18" spans="1:18" ht="58" customHeight="1">
      <c r="A18" s="2">
        <v>17</v>
      </c>
      <c r="B18" s="3" t="s">
        <v>53</v>
      </c>
      <c r="C18" s="2" t="s">
        <v>64</v>
      </c>
      <c r="D18" s="2" t="s">
        <v>65</v>
      </c>
      <c r="E18" s="4" t="s">
        <v>21</v>
      </c>
      <c r="F18" s="2" t="s">
        <v>56</v>
      </c>
      <c r="G18" s="2" t="s">
        <v>66</v>
      </c>
      <c r="H18" s="2"/>
      <c r="I18" s="2">
        <v>0.6</v>
      </c>
      <c r="J18" s="2">
        <v>0.51700000000000002</v>
      </c>
      <c r="K18" s="2">
        <v>0.12</v>
      </c>
      <c r="L18" s="2"/>
      <c r="M18" s="2" t="s">
        <v>25</v>
      </c>
      <c r="N18" s="2" t="s">
        <v>32</v>
      </c>
      <c r="O18" s="3" t="s">
        <v>133</v>
      </c>
      <c r="P18" s="5" t="s">
        <v>114</v>
      </c>
      <c r="Q18" s="5"/>
      <c r="R18" s="6"/>
    </row>
    <row r="19" spans="1:18" ht="58" customHeight="1">
      <c r="A19" s="2">
        <v>18</v>
      </c>
      <c r="B19" s="3" t="s">
        <v>53</v>
      </c>
      <c r="C19" s="2" t="s">
        <v>67</v>
      </c>
      <c r="D19" s="2" t="s">
        <v>68</v>
      </c>
      <c r="E19" s="4" t="s">
        <v>21</v>
      </c>
      <c r="F19" s="2" t="s">
        <v>56</v>
      </c>
      <c r="G19" s="2" t="s">
        <v>57</v>
      </c>
      <c r="H19" s="2"/>
      <c r="I19" s="2">
        <v>0.65300000000000002</v>
      </c>
      <c r="J19" s="2">
        <v>0.54990000000000006</v>
      </c>
      <c r="K19" s="2">
        <v>0.1031</v>
      </c>
      <c r="L19" s="2"/>
      <c r="M19" s="2" t="s">
        <v>25</v>
      </c>
      <c r="N19" s="2" t="s">
        <v>32</v>
      </c>
      <c r="O19" s="3" t="s">
        <v>134</v>
      </c>
      <c r="P19" s="5" t="s">
        <v>114</v>
      </c>
      <c r="Q19" s="5"/>
      <c r="R19" s="6"/>
    </row>
    <row r="20" spans="1:18" ht="58" customHeight="1">
      <c r="A20" s="2">
        <v>19</v>
      </c>
      <c r="B20" s="3" t="s">
        <v>69</v>
      </c>
      <c r="C20" s="2" t="s">
        <v>70</v>
      </c>
      <c r="D20" s="2" t="s">
        <v>71</v>
      </c>
      <c r="E20" s="4" t="s">
        <v>21</v>
      </c>
      <c r="F20" s="2" t="s">
        <v>22</v>
      </c>
      <c r="G20" s="2" t="s">
        <v>72</v>
      </c>
      <c r="H20" s="2">
        <v>3</v>
      </c>
      <c r="I20" s="2">
        <v>0.80500000000000005</v>
      </c>
      <c r="J20" s="2"/>
      <c r="K20" s="2"/>
      <c r="L20" s="2" t="s">
        <v>73</v>
      </c>
      <c r="M20" s="2" t="s">
        <v>25</v>
      </c>
      <c r="N20" s="2" t="s">
        <v>26</v>
      </c>
      <c r="O20" s="3" t="s">
        <v>135</v>
      </c>
      <c r="P20" s="5" t="s">
        <v>99</v>
      </c>
      <c r="Q20" s="5" t="s">
        <v>136</v>
      </c>
      <c r="R20" s="6"/>
    </row>
    <row r="21" spans="1:18" ht="58" customHeight="1">
      <c r="A21" s="2">
        <v>20</v>
      </c>
      <c r="B21" s="3" t="s">
        <v>69</v>
      </c>
      <c r="C21" s="2" t="s">
        <v>74</v>
      </c>
      <c r="D21" s="2" t="s">
        <v>75</v>
      </c>
      <c r="E21" s="4" t="s">
        <v>21</v>
      </c>
      <c r="F21" s="2" t="s">
        <v>56</v>
      </c>
      <c r="G21" s="2" t="s">
        <v>57</v>
      </c>
      <c r="H21" s="2"/>
      <c r="I21" s="2">
        <v>0.52359999999999995</v>
      </c>
      <c r="J21" s="2">
        <v>0.57720000000000005</v>
      </c>
      <c r="K21" s="2">
        <v>-4.7899999999999998E-2</v>
      </c>
      <c r="L21" s="2"/>
      <c r="M21" s="2" t="s">
        <v>35</v>
      </c>
      <c r="N21" s="2" t="s">
        <v>26</v>
      </c>
      <c r="O21" s="3" t="s">
        <v>137</v>
      </c>
      <c r="P21" s="5" t="s">
        <v>114</v>
      </c>
      <c r="Q21" s="5" t="s">
        <v>138</v>
      </c>
      <c r="R21" s="6" t="s">
        <v>139</v>
      </c>
    </row>
    <row r="22" spans="1:18" ht="58" customHeight="1">
      <c r="A22" s="2">
        <v>21</v>
      </c>
      <c r="B22" s="3" t="s">
        <v>69</v>
      </c>
      <c r="C22" s="2" t="s">
        <v>76</v>
      </c>
      <c r="D22" s="2" t="s">
        <v>77</v>
      </c>
      <c r="E22" s="4" t="s">
        <v>21</v>
      </c>
      <c r="F22" s="2" t="s">
        <v>22</v>
      </c>
      <c r="G22" s="2" t="s">
        <v>78</v>
      </c>
      <c r="H22" s="2">
        <v>1</v>
      </c>
      <c r="I22" s="2">
        <v>0.57599999999999996</v>
      </c>
      <c r="J22" s="2"/>
      <c r="K22" s="2"/>
      <c r="L22" s="2" t="s">
        <v>24</v>
      </c>
      <c r="M22" s="2" t="s">
        <v>35</v>
      </c>
      <c r="N22" s="2" t="s">
        <v>26</v>
      </c>
      <c r="O22" s="3" t="s">
        <v>140</v>
      </c>
      <c r="P22" s="5" t="s">
        <v>99</v>
      </c>
      <c r="Q22" s="5"/>
      <c r="R22" s="6" t="s">
        <v>139</v>
      </c>
    </row>
    <row r="23" spans="1:18" ht="58" customHeight="1">
      <c r="A23" s="2">
        <v>22</v>
      </c>
      <c r="B23" s="3" t="s">
        <v>69</v>
      </c>
      <c r="C23" s="2" t="s">
        <v>79</v>
      </c>
      <c r="D23" s="2" t="s">
        <v>80</v>
      </c>
      <c r="E23" s="4" t="s">
        <v>21</v>
      </c>
      <c r="F23" s="2" t="s">
        <v>22</v>
      </c>
      <c r="G23" s="2" t="s">
        <v>81</v>
      </c>
      <c r="H23" s="2">
        <v>5</v>
      </c>
      <c r="I23" s="2">
        <v>0.70699999999999996</v>
      </c>
      <c r="J23" s="2">
        <v>0.49969999999999998</v>
      </c>
      <c r="K23" s="2">
        <v>0.1983</v>
      </c>
      <c r="L23" s="2" t="s">
        <v>73</v>
      </c>
      <c r="M23" s="2" t="s">
        <v>25</v>
      </c>
      <c r="N23" s="2" t="s">
        <v>36</v>
      </c>
      <c r="O23" s="3" t="s">
        <v>141</v>
      </c>
      <c r="P23" s="5" t="s">
        <v>114</v>
      </c>
      <c r="Q23" s="5"/>
      <c r="R23" s="6"/>
    </row>
    <row r="24" spans="1:18" ht="58" customHeight="1">
      <c r="A24" s="2">
        <v>23</v>
      </c>
      <c r="B24" s="3" t="s">
        <v>69</v>
      </c>
      <c r="C24" s="2" t="s">
        <v>82</v>
      </c>
      <c r="D24" s="2" t="s">
        <v>83</v>
      </c>
      <c r="E24" s="4" t="s">
        <v>21</v>
      </c>
      <c r="F24" s="2" t="s">
        <v>56</v>
      </c>
      <c r="G24" s="2" t="s">
        <v>84</v>
      </c>
      <c r="H24" s="2"/>
      <c r="I24" s="2">
        <v>0.88200000000000001</v>
      </c>
      <c r="J24" s="2"/>
      <c r="K24" s="2"/>
      <c r="L24" s="2"/>
      <c r="M24" s="2" t="s">
        <v>35</v>
      </c>
      <c r="N24" s="2" t="s">
        <v>26</v>
      </c>
      <c r="O24" s="3" t="s">
        <v>142</v>
      </c>
      <c r="P24" s="5" t="s">
        <v>99</v>
      </c>
      <c r="Q24" s="5"/>
      <c r="R24" s="6" t="s">
        <v>143</v>
      </c>
    </row>
    <row r="25" spans="1:18" ht="58" customHeight="1">
      <c r="A25" s="2">
        <v>24</v>
      </c>
      <c r="B25" s="3" t="s">
        <v>69</v>
      </c>
      <c r="C25" s="2" t="s">
        <v>82</v>
      </c>
      <c r="D25" s="2" t="s">
        <v>83</v>
      </c>
      <c r="E25" s="4" t="s">
        <v>21</v>
      </c>
      <c r="F25" s="2" t="s">
        <v>56</v>
      </c>
      <c r="G25" s="2" t="s">
        <v>84</v>
      </c>
      <c r="H25" s="2"/>
      <c r="I25" s="2">
        <v>0.84199999999999997</v>
      </c>
      <c r="J25" s="2"/>
      <c r="K25" s="2"/>
      <c r="L25" s="2"/>
      <c r="M25" s="2" t="s">
        <v>35</v>
      </c>
      <c r="N25" s="2" t="s">
        <v>26</v>
      </c>
      <c r="O25" s="3" t="s">
        <v>142</v>
      </c>
      <c r="P25" s="5" t="s">
        <v>99</v>
      </c>
      <c r="Q25" s="5"/>
      <c r="R25" s="6" t="s">
        <v>143</v>
      </c>
    </row>
    <row r="26" spans="1:18" ht="58" customHeight="1">
      <c r="A26" s="2">
        <v>25</v>
      </c>
      <c r="B26" s="3" t="s">
        <v>69</v>
      </c>
      <c r="C26" s="2" t="s">
        <v>82</v>
      </c>
      <c r="D26" s="2" t="s">
        <v>83</v>
      </c>
      <c r="E26" s="4" t="s">
        <v>21</v>
      </c>
      <c r="F26" s="2" t="s">
        <v>56</v>
      </c>
      <c r="G26" s="2" t="s">
        <v>84</v>
      </c>
      <c r="H26" s="2"/>
      <c r="I26" s="2">
        <v>0.84199999999999997</v>
      </c>
      <c r="J26" s="2"/>
      <c r="K26" s="2"/>
      <c r="L26" s="2"/>
      <c r="M26" s="2" t="s">
        <v>35</v>
      </c>
      <c r="N26" s="2" t="s">
        <v>26</v>
      </c>
      <c r="O26" s="3" t="s">
        <v>85</v>
      </c>
      <c r="P26" s="5" t="s">
        <v>99</v>
      </c>
      <c r="Q26" s="5"/>
      <c r="R26" s="6" t="s">
        <v>143</v>
      </c>
    </row>
    <row r="27" spans="1:18" ht="58" customHeight="1">
      <c r="A27" s="2">
        <v>26</v>
      </c>
      <c r="B27" s="3" t="s">
        <v>69</v>
      </c>
      <c r="C27" s="2" t="s">
        <v>86</v>
      </c>
      <c r="D27" s="2" t="s">
        <v>87</v>
      </c>
      <c r="E27" s="4" t="s">
        <v>21</v>
      </c>
      <c r="F27" s="2" t="s">
        <v>22</v>
      </c>
      <c r="G27" s="2" t="s">
        <v>72</v>
      </c>
      <c r="H27" s="2">
        <v>3</v>
      </c>
      <c r="I27" s="2">
        <v>0.83</v>
      </c>
      <c r="J27" s="2"/>
      <c r="K27" s="2"/>
      <c r="L27" s="2" t="s">
        <v>73</v>
      </c>
      <c r="M27" s="2" t="s">
        <v>25</v>
      </c>
      <c r="N27" s="2" t="s">
        <v>26</v>
      </c>
      <c r="O27" s="3" t="s">
        <v>144</v>
      </c>
      <c r="P27" s="5" t="s">
        <v>114</v>
      </c>
      <c r="Q27" s="5"/>
      <c r="R27" s="6"/>
    </row>
    <row r="28" spans="1:18" ht="58" customHeight="1">
      <c r="A28" s="2">
        <v>27</v>
      </c>
      <c r="B28" s="3" t="s">
        <v>88</v>
      </c>
      <c r="C28" s="2" t="s">
        <v>89</v>
      </c>
      <c r="D28" s="2" t="s">
        <v>90</v>
      </c>
      <c r="E28" s="4" t="s">
        <v>21</v>
      </c>
      <c r="F28" s="2" t="s">
        <v>22</v>
      </c>
      <c r="G28" s="2" t="s">
        <v>23</v>
      </c>
      <c r="H28" s="2">
        <v>5</v>
      </c>
      <c r="I28" s="2">
        <v>0.746</v>
      </c>
      <c r="J28" s="2">
        <v>0.5121</v>
      </c>
      <c r="K28" s="2">
        <v>0.2339</v>
      </c>
      <c r="L28" s="2" t="s">
        <v>24</v>
      </c>
      <c r="M28" s="2" t="s">
        <v>25</v>
      </c>
      <c r="N28" s="2" t="s">
        <v>26</v>
      </c>
      <c r="O28" s="3" t="s">
        <v>145</v>
      </c>
      <c r="P28" s="5" t="s">
        <v>114</v>
      </c>
      <c r="Q28" s="5"/>
      <c r="R28" s="6"/>
    </row>
    <row r="29" spans="1:18" ht="58" customHeight="1">
      <c r="A29" s="2">
        <v>28</v>
      </c>
      <c r="B29" s="3" t="s">
        <v>88</v>
      </c>
      <c r="C29" s="2" t="s">
        <v>91</v>
      </c>
      <c r="D29" s="2" t="s">
        <v>92</v>
      </c>
      <c r="E29" s="4" t="s">
        <v>21</v>
      </c>
      <c r="F29" s="2" t="s">
        <v>22</v>
      </c>
      <c r="G29" s="2" t="s">
        <v>23</v>
      </c>
      <c r="H29" s="2">
        <v>5</v>
      </c>
      <c r="I29" s="2">
        <v>0.73399999999999999</v>
      </c>
      <c r="J29" s="2">
        <v>0.52300000000000002</v>
      </c>
      <c r="K29" s="2">
        <v>0.21099999999999999</v>
      </c>
      <c r="L29" s="2" t="s">
        <v>24</v>
      </c>
      <c r="M29" s="2" t="s">
        <v>25</v>
      </c>
      <c r="N29" s="2" t="s">
        <v>26</v>
      </c>
      <c r="O29" s="3" t="s">
        <v>146</v>
      </c>
      <c r="P29" s="5" t="s">
        <v>114</v>
      </c>
      <c r="Q29" s="5"/>
      <c r="R29" s="6"/>
    </row>
    <row r="30" spans="1:18" ht="58" customHeight="1">
      <c r="A30" s="2">
        <v>29</v>
      </c>
      <c r="B30" s="3" t="s">
        <v>88</v>
      </c>
      <c r="C30" s="2" t="s">
        <v>43</v>
      </c>
      <c r="D30" s="2" t="s">
        <v>44</v>
      </c>
      <c r="E30" s="4" t="s">
        <v>21</v>
      </c>
      <c r="F30" s="2" t="s">
        <v>22</v>
      </c>
      <c r="G30" s="2" t="s">
        <v>23</v>
      </c>
      <c r="H30" s="2">
        <v>5</v>
      </c>
      <c r="I30" s="2">
        <v>0.82399999999999995</v>
      </c>
      <c r="J30" s="2">
        <v>0.60670000000000002</v>
      </c>
      <c r="K30" s="2">
        <v>0.21729999999999999</v>
      </c>
      <c r="L30" s="2" t="s">
        <v>29</v>
      </c>
      <c r="M30" s="2" t="s">
        <v>25</v>
      </c>
      <c r="N30" s="2" t="s">
        <v>26</v>
      </c>
      <c r="O30" s="3" t="s">
        <v>147</v>
      </c>
      <c r="P30" s="5" t="s">
        <v>114</v>
      </c>
      <c r="Q30" s="5"/>
      <c r="R30" s="6"/>
    </row>
    <row r="31" spans="1:18" ht="58" customHeight="1">
      <c r="A31" s="2">
        <v>30</v>
      </c>
      <c r="B31" s="3" t="s">
        <v>88</v>
      </c>
      <c r="C31" s="2" t="s">
        <v>93</v>
      </c>
      <c r="D31" s="2" t="s">
        <v>94</v>
      </c>
      <c r="E31" s="4" t="s">
        <v>21</v>
      </c>
      <c r="F31" s="2" t="s">
        <v>22</v>
      </c>
      <c r="G31" s="2" t="s">
        <v>23</v>
      </c>
      <c r="H31" s="2">
        <v>5</v>
      </c>
      <c r="I31" s="2">
        <v>0.83699999999999997</v>
      </c>
      <c r="J31" s="2">
        <v>0.55640000000000001</v>
      </c>
      <c r="K31" s="2">
        <v>0.28060000000000002</v>
      </c>
      <c r="L31" s="2" t="s">
        <v>24</v>
      </c>
      <c r="M31" s="2" t="s">
        <v>25</v>
      </c>
      <c r="N31" s="2" t="s">
        <v>26</v>
      </c>
      <c r="O31" s="3" t="s">
        <v>148</v>
      </c>
      <c r="P31" s="5" t="s">
        <v>114</v>
      </c>
      <c r="Q31" s="5"/>
      <c r="R31" s="6"/>
    </row>
    <row r="33" spans="1:2" ht="16">
      <c r="A33" s="7" t="s">
        <v>95</v>
      </c>
    </row>
    <row r="34" spans="1:2" ht="16">
      <c r="A34" s="8" t="s">
        <v>96</v>
      </c>
      <c r="B34" s="9">
        <f>COUNTA(P2:P31)</f>
        <v>30</v>
      </c>
    </row>
    <row r="35" spans="1:2" ht="16">
      <c r="A35" s="8" t="s">
        <v>97</v>
      </c>
      <c r="B35" s="9">
        <f>COUNTIF(P2:P31,"对")</f>
        <v>23</v>
      </c>
    </row>
    <row r="36" spans="1:2" ht="16">
      <c r="A36" s="8" t="s">
        <v>98</v>
      </c>
      <c r="B36" s="9">
        <f>COUNTIF(P2:P31,"错")</f>
        <v>1</v>
      </c>
    </row>
    <row r="37" spans="1:2" ht="16">
      <c r="A37" s="8" t="s">
        <v>99</v>
      </c>
      <c r="B37" s="9">
        <f>COUNTIF(P2:P31,"存疑")</f>
        <v>6</v>
      </c>
    </row>
    <row r="38" spans="1:2" ht="16">
      <c r="A38" s="8" t="s">
        <v>100</v>
      </c>
      <c r="B38" s="9">
        <f>COUNTIF(P2:P31,"无法定位")</f>
        <v>0</v>
      </c>
    </row>
    <row r="39" spans="1:2" ht="16">
      <c r="A39" s="8" t="s">
        <v>101</v>
      </c>
      <c r="B39" s="10">
        <f>IFERROR(COUNTIF(P2:P31,"对")/COUNTA(P2:P31),"-")</f>
        <v>0.76666666666666672</v>
      </c>
    </row>
  </sheetData>
  <phoneticPr fontId="10" type="noConversion"/>
  <dataValidations count="1">
    <dataValidation type="list" allowBlank="1" promptTitle="核对结果" prompt="对＝原句里这个值确实是它；错＝值不是它/拿错了年份或指标；存疑＝句子里多个值、分不清哪个；无法定位＝全文里找不到这句" sqref="P2:P31" xr:uid="{00000000-0002-0000-0000-000000000000}">
      <formula1>"对,错,存疑,无法定位"</formula1>
    </dataValidation>
  </dataValidations>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E11" r:id="rId10" xr:uid="{00000000-0004-0000-0000-000009000000}"/>
    <hyperlink ref="E12" r:id="rId11" xr:uid="{00000000-0004-0000-0000-00000A000000}"/>
    <hyperlink ref="E13" r:id="rId12" xr:uid="{00000000-0004-0000-0000-00000B000000}"/>
    <hyperlink ref="E14" r:id="rId13" xr:uid="{00000000-0004-0000-0000-00000C000000}"/>
    <hyperlink ref="E15" r:id="rId14" xr:uid="{00000000-0004-0000-0000-00000D000000}"/>
    <hyperlink ref="E16" r:id="rId15" xr:uid="{00000000-0004-0000-0000-00000E000000}"/>
    <hyperlink ref="E17" r:id="rId16" xr:uid="{00000000-0004-0000-0000-00000F000000}"/>
    <hyperlink ref="E18" r:id="rId17" xr:uid="{00000000-0004-0000-0000-000010000000}"/>
    <hyperlink ref="E19" r:id="rId18" xr:uid="{00000000-0004-0000-0000-000011000000}"/>
    <hyperlink ref="E20" r:id="rId19" xr:uid="{00000000-0004-0000-0000-000012000000}"/>
    <hyperlink ref="E21" r:id="rId20" xr:uid="{00000000-0004-0000-0000-000013000000}"/>
    <hyperlink ref="E22" r:id="rId21" xr:uid="{00000000-0004-0000-0000-000014000000}"/>
    <hyperlink ref="E23" r:id="rId22" xr:uid="{00000000-0004-0000-0000-000015000000}"/>
    <hyperlink ref="E24" r:id="rId23" xr:uid="{00000000-0004-0000-0000-000016000000}"/>
    <hyperlink ref="E25" r:id="rId24" xr:uid="{00000000-0004-0000-0000-000017000000}"/>
    <hyperlink ref="E26" r:id="rId25" xr:uid="{00000000-0004-0000-0000-000018000000}"/>
    <hyperlink ref="E27" r:id="rId26" xr:uid="{00000000-0004-0000-0000-000019000000}"/>
    <hyperlink ref="E28" r:id="rId27" xr:uid="{00000000-0004-0000-0000-00001A000000}"/>
    <hyperlink ref="E29" r:id="rId28" xr:uid="{00000000-0004-0000-0000-00001B000000}"/>
    <hyperlink ref="E30" r:id="rId29" xr:uid="{00000000-0004-0000-0000-00001C000000}"/>
    <hyperlink ref="E31" r:id="rId30" xr:uid="{00000000-0004-0000-0000-00001D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baseColWidth="10" defaultColWidth="8.83203125" defaultRowHeight="14"/>
  <cols>
    <col min="1" max="1" width="14" customWidth="1"/>
    <col min="2" max="2" width="108" customWidth="1"/>
  </cols>
  <sheetData>
    <row r="1" spans="1:2" ht="19">
      <c r="A1" s="11" t="s">
        <v>102</v>
      </c>
    </row>
    <row r="3" spans="1:2" ht="62" customHeight="1">
      <c r="A3" s="12" t="s">
        <v>103</v>
      </c>
      <c r="B3" s="13" t="s">
        <v>104</v>
      </c>
    </row>
    <row r="4" spans="1:2" ht="62" customHeight="1">
      <c r="A4" s="12" t="s">
        <v>105</v>
      </c>
      <c r="B4" s="13" t="s">
        <v>106</v>
      </c>
    </row>
    <row r="5" spans="1:2" ht="62" customHeight="1">
      <c r="A5" s="12" t="s">
        <v>107</v>
      </c>
      <c r="B5" s="13" t="s">
        <v>108</v>
      </c>
    </row>
    <row r="6" spans="1:2" ht="62" customHeight="1">
      <c r="A6" s="12" t="s">
        <v>109</v>
      </c>
      <c r="B6" s="13" t="s">
        <v>110</v>
      </c>
    </row>
    <row r="7" spans="1:2" ht="62" customHeight="1">
      <c r="A7" s="12" t="s">
        <v>111</v>
      </c>
      <c r="B7" s="13" t="s">
        <v>112</v>
      </c>
    </row>
  </sheetData>
  <phoneticPr fontId="10"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抽查30条</vt:lpstr>
      <vt:lpstr>核对说明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丹 阳</cp:lastModifiedBy>
  <dcterms:created xsi:type="dcterms:W3CDTF">2026-10-01T09:31:01Z</dcterms:created>
  <dcterms:modified xsi:type="dcterms:W3CDTF">2026-10-01T15:01:51Z</dcterms:modified>
</cp:coreProperties>
</file>